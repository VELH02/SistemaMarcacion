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gistro" sheetId="1" state="visible" r:id="rId1"/>
    <sheet name="Semana" sheetId="2" state="visible" r:id="rId2"/>
    <sheet name="BaseLegal" sheetId="3" state="visible" r:id="rId3"/>
    <sheet name="13204" sheetId="4" state="visible" r:id="rId4"/>
    <sheet name="14251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4E78"/>
      <sz val="14"/>
    </font>
    <font>
      <name val="Calibri"/>
      <charset val="1"/>
      <family val="0"/>
      <b val="1"/>
      <sz val="11"/>
    </font>
    <font>
      <name val="Calibri"/>
      <charset val="1"/>
      <family val="2"/>
      <b val="1"/>
      <color theme="1"/>
      <sz val="11"/>
    </font>
    <font>
      <name val="Segoe UI"/>
      <b val="1"/>
      <color rgb="00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00008037"/>
        <bgColor rgb="0000803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  <border>
      <left style="thin">
        <color rgb="00D3DED7"/>
      </left>
      <right style="thin">
        <color rgb="00D3DED7"/>
      </right>
      <top style="thin">
        <color rgb="00D3DED7"/>
      </top>
      <bottom style="thin">
        <color rgb="00D3DED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 wrapText="1"/>
    </xf>
    <xf numFmtId="0" fontId="0" fillId="0" borderId="2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 wrapText="1"/>
    </xf>
    <xf numFmtId="0" fontId="0" fillId="0" borderId="2" applyAlignment="1" pivotButton="0" quotePrefix="0" xfId="0">
      <alignment horizontal="center" vertical="bottom" wrapText="1"/>
    </xf>
    <xf numFmtId="0" fontId="8" fillId="4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164" fontId="9" fillId="0" borderId="3" applyAlignment="1" pivotButton="0" quotePrefix="0" xfId="0">
      <alignment horizontal="center" vertical="center" wrapText="1"/>
    </xf>
    <xf numFmtId="2" fontId="9" fillId="0" borderId="3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0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I12" activeCellId="0" sqref="I12"/>
    </sheetView>
  </sheetViews>
  <sheetFormatPr baseColWidth="8" defaultColWidth="8.54296875" defaultRowHeight="15" customHeight="0" zeroHeight="0" outlineLevelRow="0"/>
  <cols>
    <col width="16" customWidth="1" style="17" min="1" max="1"/>
    <col width="20" customWidth="1" style="17" min="2" max="3"/>
    <col width="14" customWidth="1" style="18" min="3" max="3"/>
    <col width="15" customWidth="1" style="17" min="4" max="4"/>
    <col width="15" customWidth="1" style="17" min="5" max="5"/>
    <col width="18" customWidth="1" style="17" min="6" max="6"/>
    <col width="16" customWidth="1" style="17" min="7" max="8"/>
    <col width="16" customWidth="1" style="18" min="8" max="8"/>
    <col width="28" customWidth="1" style="18" min="9" max="9"/>
  </cols>
  <sheetData>
    <row r="1" ht="26" customHeight="1" s="18">
      <c r="A1" s="34" t="inlineStr">
        <is>
          <t>NUMERO DE COOLABORADOR</t>
        </is>
      </c>
      <c r="B1" s="34" t="inlineStr">
        <is>
          <t>AREA</t>
        </is>
      </c>
      <c r="C1" s="34" t="inlineStr">
        <is>
          <t>FECHA</t>
        </is>
      </c>
      <c r="D1" s="34" t="inlineStr">
        <is>
          <t>HORA DE ENTRADA</t>
        </is>
      </c>
      <c r="E1" s="34" t="inlineStr">
        <is>
          <t>HORA DE SALIDA</t>
        </is>
      </c>
      <c r="F1" s="34" t="inlineStr">
        <is>
          <t>HORAS TRABAJADAS</t>
        </is>
      </c>
      <c r="G1" s="34" t="inlineStr">
        <is>
          <t>MINUTOS TARDE</t>
        </is>
      </c>
      <c r="H1" s="34" t="inlineStr">
        <is>
          <t>HORAS EXTRA</t>
        </is>
      </c>
      <c r="I1" s="34" t="n"/>
    </row>
    <row r="2" ht="20" customHeight="1" s="18">
      <c r="A2" s="35" t="n">
        <v>14240</v>
      </c>
      <c r="B2" s="36" t="inlineStr">
        <is>
          <t>MANTENIMIENTO</t>
        </is>
      </c>
      <c r="C2" s="37">
        <f>TODAY()</f>
        <v/>
      </c>
      <c r="D2" s="35" t="inlineStr">
        <is>
          <t>04:04:19</t>
        </is>
      </c>
      <c r="E2" s="35" t="inlineStr">
        <is>
          <t>17:02:00</t>
        </is>
      </c>
      <c r="F2" s="38">
        <f>J2*24</f>
        <v/>
      </c>
      <c r="G2" s="35" t="n"/>
      <c r="H2" s="35" t="n"/>
      <c r="I2" s="36" t="n"/>
      <c r="J2" s="17">
        <f>E2-D2</f>
        <v/>
      </c>
    </row>
    <row r="3" ht="20" customHeight="1" s="18">
      <c r="A3" s="35" t="n">
        <v>14240</v>
      </c>
      <c r="B3" s="36" t="inlineStr">
        <is>
          <t>MANTENIMIENTO</t>
        </is>
      </c>
      <c r="C3" s="37">
        <f>C2+1</f>
        <v/>
      </c>
      <c r="D3" s="35">
        <f>D2</f>
        <v/>
      </c>
      <c r="E3" s="35">
        <f>E2</f>
        <v/>
      </c>
      <c r="F3" s="38">
        <f>J3*24</f>
        <v/>
      </c>
      <c r="G3" s="35" t="n"/>
      <c r="H3" s="35" t="n"/>
      <c r="I3" s="36" t="n"/>
      <c r="J3" s="17">
        <f>E3-D3</f>
        <v/>
      </c>
    </row>
    <row r="4" ht="20" customHeight="1" s="18">
      <c r="A4" s="35" t="n">
        <v>14240</v>
      </c>
      <c r="B4" s="36" t="inlineStr">
        <is>
          <t>MANTENIMIENTO</t>
        </is>
      </c>
      <c r="C4" s="37">
        <f>C3+1</f>
        <v/>
      </c>
      <c r="D4" s="35">
        <f>D3</f>
        <v/>
      </c>
      <c r="E4" s="35">
        <f>E3</f>
        <v/>
      </c>
      <c r="F4" s="38">
        <f>J4*24</f>
        <v/>
      </c>
      <c r="G4" s="35" t="n"/>
      <c r="H4" s="35" t="n"/>
      <c r="I4" s="36" t="n"/>
      <c r="J4" s="17">
        <f>E4-D4</f>
        <v/>
      </c>
    </row>
    <row r="5" ht="20" customHeight="1" s="18">
      <c r="A5" s="35">
        <f>A4</f>
        <v/>
      </c>
      <c r="B5" s="36">
        <f>B4</f>
        <v/>
      </c>
      <c r="C5" s="37">
        <f>C4+1</f>
        <v/>
      </c>
      <c r="D5" s="35">
        <f>D4</f>
        <v/>
      </c>
      <c r="E5" s="35">
        <f>E4</f>
        <v/>
      </c>
      <c r="F5" s="38">
        <f>J5*24</f>
        <v/>
      </c>
      <c r="G5" s="35" t="n"/>
      <c r="H5" s="35" t="n"/>
      <c r="I5" s="36" t="n"/>
      <c r="J5" s="17">
        <f>E5-D5</f>
        <v/>
      </c>
    </row>
    <row r="6" ht="20" customHeight="1" s="18">
      <c r="A6" s="35">
        <f>A5</f>
        <v/>
      </c>
      <c r="B6" s="36">
        <f>B5</f>
        <v/>
      </c>
      <c r="C6" s="37">
        <f>C5+1</f>
        <v/>
      </c>
      <c r="D6" s="35">
        <f>D5</f>
        <v/>
      </c>
      <c r="E6" s="35">
        <f>E5</f>
        <v/>
      </c>
      <c r="F6" s="38">
        <f>J6*24</f>
        <v/>
      </c>
      <c r="G6" s="35" t="n"/>
      <c r="H6" s="35" t="n"/>
      <c r="I6" s="36" t="n"/>
      <c r="J6" s="17">
        <f>E6-D6</f>
        <v/>
      </c>
    </row>
    <row r="7" ht="20" customHeight="1" s="18">
      <c r="A7" s="35">
        <f>A6</f>
        <v/>
      </c>
      <c r="B7" s="36">
        <f>B6</f>
        <v/>
      </c>
      <c r="C7" s="37">
        <f>C6+1</f>
        <v/>
      </c>
      <c r="D7" s="35">
        <f>D6</f>
        <v/>
      </c>
      <c r="E7" s="35">
        <f>E6</f>
        <v/>
      </c>
      <c r="F7" s="38">
        <f>J7*24</f>
        <v/>
      </c>
      <c r="G7" s="35" t="n"/>
      <c r="H7" s="35" t="n"/>
      <c r="I7" s="36" t="n"/>
      <c r="J7" s="17">
        <f>E7-D7</f>
        <v/>
      </c>
    </row>
    <row r="8" ht="20" customHeight="1" s="18">
      <c r="A8" s="35">
        <f>A7</f>
        <v/>
      </c>
      <c r="B8" s="36">
        <f>B7</f>
        <v/>
      </c>
      <c r="C8" s="37">
        <f>C7+1</f>
        <v/>
      </c>
      <c r="D8" s="35">
        <f>D7</f>
        <v/>
      </c>
      <c r="E8" s="35">
        <f>E7</f>
        <v/>
      </c>
      <c r="F8" s="38">
        <f>J8*24</f>
        <v/>
      </c>
      <c r="G8" s="35" t="n"/>
      <c r="H8" s="35" t="n"/>
      <c r="I8" s="36" t="n"/>
      <c r="J8" s="17">
        <f>E8-D8</f>
        <v/>
      </c>
    </row>
    <row r="9" ht="20" customHeight="1" s="18">
      <c r="A9" s="35">
        <f>A8</f>
        <v/>
      </c>
      <c r="B9" s="36">
        <f>B8</f>
        <v/>
      </c>
      <c r="C9" s="37">
        <f>C8+1</f>
        <v/>
      </c>
      <c r="D9" s="35">
        <f>D8</f>
        <v/>
      </c>
      <c r="E9" s="35">
        <f>E8</f>
        <v/>
      </c>
      <c r="F9" s="38">
        <f>J9*24</f>
        <v/>
      </c>
      <c r="G9" s="35" t="n"/>
      <c r="H9" s="35" t="n"/>
      <c r="I9" s="36" t="n"/>
      <c r="J9" s="17">
        <f>E9-D9</f>
        <v/>
      </c>
    </row>
    <row r="10" ht="20" customHeight="1" s="18">
      <c r="A10" s="35">
        <f>A9</f>
        <v/>
      </c>
      <c r="B10" s="36">
        <f>B9</f>
        <v/>
      </c>
      <c r="C10" s="37">
        <f>C9+1</f>
        <v/>
      </c>
      <c r="D10" s="35">
        <f>D9</f>
        <v/>
      </c>
      <c r="E10" s="35">
        <f>E9</f>
        <v/>
      </c>
      <c r="F10" s="38">
        <f>J10*24</f>
        <v/>
      </c>
      <c r="G10" s="35" t="n"/>
      <c r="H10" s="35" t="n"/>
      <c r="I10" s="36" t="n"/>
      <c r="J10" s="17">
        <f>E10-D10</f>
        <v/>
      </c>
    </row>
    <row r="11" ht="20" customHeight="1" s="18">
      <c r="A11" s="35">
        <f>A10</f>
        <v/>
      </c>
      <c r="B11" s="36">
        <f>B10</f>
        <v/>
      </c>
      <c r="C11" s="37">
        <f>C10+1</f>
        <v/>
      </c>
      <c r="D11" s="35">
        <f>D10</f>
        <v/>
      </c>
      <c r="E11" s="35">
        <f>E10</f>
        <v/>
      </c>
      <c r="F11" s="38">
        <f>J11*24</f>
        <v/>
      </c>
      <c r="G11" s="35" t="n"/>
      <c r="H11" s="35" t="n"/>
      <c r="I11" s="36" t="n"/>
      <c r="J11" s="17">
        <f>E11-D11</f>
        <v/>
      </c>
    </row>
    <row r="12" ht="20" customHeight="1" s="18">
      <c r="A12" s="35">
        <f>A11</f>
        <v/>
      </c>
      <c r="B12" s="36">
        <f>B11</f>
        <v/>
      </c>
      <c r="C12" s="37">
        <f>C11+1</f>
        <v/>
      </c>
      <c r="D12" s="35">
        <f>D11</f>
        <v/>
      </c>
      <c r="E12" s="35">
        <f>E11</f>
        <v/>
      </c>
      <c r="F12" s="38">
        <f>J12*24</f>
        <v/>
      </c>
      <c r="G12" s="35" t="n"/>
      <c r="H12" s="35" t="n"/>
      <c r="I12" s="36" t="n"/>
      <c r="J12" s="17">
        <f>E12-D12</f>
        <v/>
      </c>
    </row>
    <row r="13" ht="20" customHeight="1" s="18">
      <c r="A13" s="35">
        <f>A12</f>
        <v/>
      </c>
      <c r="B13" s="36">
        <f>B12</f>
        <v/>
      </c>
      <c r="C13" s="37">
        <f>C12+1</f>
        <v/>
      </c>
      <c r="D13" s="35">
        <f>D12</f>
        <v/>
      </c>
      <c r="E13" s="35">
        <f>E12</f>
        <v/>
      </c>
      <c r="F13" s="38">
        <f>J13*24</f>
        <v/>
      </c>
      <c r="G13" s="35" t="n"/>
      <c r="H13" s="35" t="n"/>
      <c r="I13" s="36" t="n"/>
      <c r="J13" s="17">
        <f>E13-D13</f>
        <v/>
      </c>
    </row>
    <row r="14" ht="20" customHeight="1" s="18">
      <c r="A14" s="35">
        <f>A13</f>
        <v/>
      </c>
      <c r="B14" s="36">
        <f>B13</f>
        <v/>
      </c>
      <c r="C14" s="37">
        <f>C13+1</f>
        <v/>
      </c>
      <c r="D14" s="35">
        <f>D13</f>
        <v/>
      </c>
      <c r="E14" s="35">
        <f>E13</f>
        <v/>
      </c>
      <c r="F14" s="38">
        <f>J14*24</f>
        <v/>
      </c>
      <c r="G14" s="35" t="n"/>
      <c r="H14" s="35" t="n"/>
      <c r="I14" s="36" t="n"/>
      <c r="J14" s="17">
        <f>E14-D14</f>
        <v/>
      </c>
    </row>
    <row r="15" ht="20" customHeight="1" s="18">
      <c r="A15" s="35">
        <f>A14</f>
        <v/>
      </c>
      <c r="B15" s="36">
        <f>B14</f>
        <v/>
      </c>
      <c r="C15" s="37">
        <f>C14+1</f>
        <v/>
      </c>
      <c r="D15" s="35">
        <f>D14</f>
        <v/>
      </c>
      <c r="E15" s="35">
        <f>E14</f>
        <v/>
      </c>
      <c r="F15" s="38">
        <f>J15*24</f>
        <v/>
      </c>
      <c r="G15" s="35" t="n"/>
      <c r="H15" s="35" t="n"/>
      <c r="I15" s="36" t="n"/>
      <c r="J15" s="17">
        <f>E15-D15</f>
        <v/>
      </c>
    </row>
    <row r="16" ht="20" customHeight="1" s="18">
      <c r="A16" s="35">
        <f>A15</f>
        <v/>
      </c>
      <c r="B16" s="36">
        <f>B15</f>
        <v/>
      </c>
      <c r="C16" s="37">
        <f>C15+1</f>
        <v/>
      </c>
      <c r="D16" s="35">
        <f>D15</f>
        <v/>
      </c>
      <c r="E16" s="35">
        <f>E15</f>
        <v/>
      </c>
      <c r="F16" s="38">
        <f>J16*24</f>
        <v/>
      </c>
      <c r="G16" s="35" t="n"/>
      <c r="H16" s="35" t="n"/>
      <c r="I16" s="36" t="n"/>
      <c r="J16" s="17">
        <f>E16-D16</f>
        <v/>
      </c>
    </row>
    <row r="17" ht="20" customHeight="1" s="18">
      <c r="A17" s="35">
        <f>A16</f>
        <v/>
      </c>
      <c r="B17" s="36">
        <f>B16</f>
        <v/>
      </c>
      <c r="C17" s="37">
        <f>C16+1</f>
        <v/>
      </c>
      <c r="D17" s="35">
        <f>D16</f>
        <v/>
      </c>
      <c r="E17" s="35">
        <f>E16</f>
        <v/>
      </c>
      <c r="F17" s="38">
        <f>J17*24</f>
        <v/>
      </c>
      <c r="G17" s="35" t="n"/>
      <c r="H17" s="35" t="n"/>
      <c r="I17" s="36" t="n"/>
      <c r="J17" s="17">
        <f>E17-D17</f>
        <v/>
      </c>
    </row>
    <row r="18" ht="20" customHeight="1" s="18">
      <c r="A18" s="35">
        <f>A17</f>
        <v/>
      </c>
      <c r="B18" s="36">
        <f>B17</f>
        <v/>
      </c>
      <c r="C18" s="37">
        <f>C17+1</f>
        <v/>
      </c>
      <c r="D18" s="35">
        <f>D17</f>
        <v/>
      </c>
      <c r="E18" s="35">
        <f>E17</f>
        <v/>
      </c>
      <c r="F18" s="38">
        <f>J18*24</f>
        <v/>
      </c>
      <c r="G18" s="35" t="n"/>
      <c r="H18" s="35" t="n"/>
      <c r="I18" s="36" t="n"/>
      <c r="J18" s="17">
        <f>E18-D18</f>
        <v/>
      </c>
    </row>
    <row r="19" ht="20" customHeight="1" s="18">
      <c r="A19" s="35">
        <f>A18</f>
        <v/>
      </c>
      <c r="B19" s="36">
        <f>B18</f>
        <v/>
      </c>
      <c r="C19" s="37">
        <f>C18+1</f>
        <v/>
      </c>
      <c r="D19" s="35">
        <f>D18</f>
        <v/>
      </c>
      <c r="E19" s="35">
        <f>E18</f>
        <v/>
      </c>
      <c r="F19" s="38">
        <f>J19*24</f>
        <v/>
      </c>
      <c r="G19" s="35" t="n"/>
      <c r="H19" s="35" t="n"/>
      <c r="I19" s="36" t="n"/>
      <c r="J19" s="17">
        <f>E19-D19</f>
        <v/>
      </c>
    </row>
    <row r="20" ht="20" customHeight="1" s="18">
      <c r="A20" s="35">
        <f>A19</f>
        <v/>
      </c>
      <c r="B20" s="36">
        <f>B19</f>
        <v/>
      </c>
      <c r="C20" s="37">
        <f>C19+1</f>
        <v/>
      </c>
      <c r="D20" s="35">
        <f>D19</f>
        <v/>
      </c>
      <c r="E20" s="35">
        <f>E19</f>
        <v/>
      </c>
      <c r="F20" s="38">
        <f>J20*24</f>
        <v/>
      </c>
      <c r="G20" s="35" t="n"/>
      <c r="H20" s="35" t="n"/>
      <c r="I20" s="36" t="n"/>
      <c r="J20" s="17">
        <f>E20-D20</f>
        <v/>
      </c>
    </row>
    <row r="21" ht="20" customHeight="1" s="18">
      <c r="A21" s="35">
        <f>A20</f>
        <v/>
      </c>
      <c r="B21" s="36">
        <f>B20</f>
        <v/>
      </c>
      <c r="C21" s="37">
        <f>C20+1</f>
        <v/>
      </c>
      <c r="D21" s="35">
        <f>D20</f>
        <v/>
      </c>
      <c r="E21" s="35">
        <f>E20</f>
        <v/>
      </c>
      <c r="F21" s="38">
        <f>J21*24</f>
        <v/>
      </c>
      <c r="G21" s="35" t="n"/>
      <c r="H21" s="35" t="n"/>
      <c r="I21" s="36" t="n"/>
      <c r="J21" s="17">
        <f>E21-D21</f>
        <v/>
      </c>
    </row>
    <row r="22" ht="20" customHeight="1" s="18">
      <c r="A22" s="35">
        <f>A21</f>
        <v/>
      </c>
      <c r="B22" s="36">
        <f>B21</f>
        <v/>
      </c>
      <c r="C22" s="37">
        <f>C21+1</f>
        <v/>
      </c>
      <c r="D22" s="35">
        <f>D21</f>
        <v/>
      </c>
      <c r="E22" s="35">
        <f>E21</f>
        <v/>
      </c>
      <c r="F22" s="38">
        <f>J22*24</f>
        <v/>
      </c>
      <c r="G22" s="35" t="n"/>
      <c r="H22" s="35" t="n"/>
      <c r="I22" s="36" t="n"/>
      <c r="J22" s="17">
        <f>E22-D22</f>
        <v/>
      </c>
    </row>
    <row r="23" ht="20" customHeight="1" s="18">
      <c r="A23" s="35">
        <f>A22</f>
        <v/>
      </c>
      <c r="B23" s="36">
        <f>B22</f>
        <v/>
      </c>
      <c r="C23" s="37">
        <f>C22+1</f>
        <v/>
      </c>
      <c r="D23" s="35">
        <f>D22</f>
        <v/>
      </c>
      <c r="E23" s="35">
        <f>E22</f>
        <v/>
      </c>
      <c r="F23" s="38">
        <f>J23*24</f>
        <v/>
      </c>
      <c r="G23" s="35" t="n"/>
      <c r="H23" s="35" t="n"/>
      <c r="I23" s="36" t="n"/>
      <c r="J23" s="17">
        <f>E23-D23</f>
        <v/>
      </c>
    </row>
    <row r="24" ht="20" customHeight="1" s="18">
      <c r="A24" s="35">
        <f>A23</f>
        <v/>
      </c>
      <c r="B24" s="36">
        <f>B23</f>
        <v/>
      </c>
      <c r="C24" s="37">
        <f>C23+1</f>
        <v/>
      </c>
      <c r="D24" s="35">
        <f>D23</f>
        <v/>
      </c>
      <c r="E24" s="35">
        <f>E23</f>
        <v/>
      </c>
      <c r="F24" s="38">
        <f>J24*24</f>
        <v/>
      </c>
      <c r="G24" s="35" t="n"/>
      <c r="H24" s="35" t="n"/>
      <c r="I24" s="36" t="n"/>
      <c r="J24" s="17">
        <f>E24-D24</f>
        <v/>
      </c>
    </row>
    <row r="25" ht="20" customHeight="1" s="18">
      <c r="A25" s="35">
        <f>A24</f>
        <v/>
      </c>
      <c r="B25" s="36">
        <f>B24</f>
        <v/>
      </c>
      <c r="C25" s="37">
        <f>C24+1</f>
        <v/>
      </c>
      <c r="D25" s="35">
        <f>D24</f>
        <v/>
      </c>
      <c r="E25" s="35">
        <f>E24</f>
        <v/>
      </c>
      <c r="F25" s="38">
        <f>J25*24</f>
        <v/>
      </c>
      <c r="G25" s="35" t="n"/>
      <c r="H25" s="35" t="n"/>
      <c r="I25" s="36" t="n"/>
      <c r="J25" s="17">
        <f>E25-D25</f>
        <v/>
      </c>
    </row>
    <row r="26" ht="20" customHeight="1" s="18">
      <c r="A26" s="35">
        <f>A25</f>
        <v/>
      </c>
      <c r="B26" s="36">
        <f>B25</f>
        <v/>
      </c>
      <c r="C26" s="37">
        <f>C25+1</f>
        <v/>
      </c>
      <c r="D26" s="35">
        <f>D25</f>
        <v/>
      </c>
      <c r="E26" s="35">
        <f>E25</f>
        <v/>
      </c>
      <c r="F26" s="38">
        <f>J26*24</f>
        <v/>
      </c>
      <c r="G26" s="35" t="n"/>
      <c r="H26" s="35" t="n"/>
      <c r="I26" s="36" t="n"/>
      <c r="J26" s="17">
        <f>E26-D26</f>
        <v/>
      </c>
    </row>
    <row r="27" ht="20" customHeight="1" s="18">
      <c r="A27" s="35">
        <f>A26</f>
        <v/>
      </c>
      <c r="B27" s="36">
        <f>B26</f>
        <v/>
      </c>
      <c r="C27" s="37">
        <f>C26+1</f>
        <v/>
      </c>
      <c r="D27" s="35">
        <f>D26</f>
        <v/>
      </c>
      <c r="E27" s="35">
        <f>E26</f>
        <v/>
      </c>
      <c r="F27" s="38">
        <f>J27*24</f>
        <v/>
      </c>
      <c r="G27" s="35" t="n"/>
      <c r="H27" s="35" t="n"/>
      <c r="I27" s="36" t="n"/>
      <c r="J27" s="17">
        <f>E27-D27</f>
        <v/>
      </c>
    </row>
    <row r="28" ht="20" customHeight="1" s="18">
      <c r="A28" s="35">
        <f>A27</f>
        <v/>
      </c>
      <c r="B28" s="36">
        <f>B27</f>
        <v/>
      </c>
      <c r="C28" s="37">
        <f>C27+1</f>
        <v/>
      </c>
      <c r="D28" s="35">
        <f>D27</f>
        <v/>
      </c>
      <c r="E28" s="35">
        <f>E27</f>
        <v/>
      </c>
      <c r="F28" s="38">
        <f>J28*24</f>
        <v/>
      </c>
      <c r="G28" s="35" t="n"/>
      <c r="H28" s="35" t="n"/>
      <c r="I28" s="36" t="n"/>
      <c r="J28" s="17">
        <f>E28-D28</f>
        <v/>
      </c>
    </row>
    <row r="29" ht="20" customHeight="1" s="18">
      <c r="A29" s="35">
        <f>A28</f>
        <v/>
      </c>
      <c r="B29" s="36">
        <f>B28</f>
        <v/>
      </c>
      <c r="C29" s="37">
        <f>C28+1</f>
        <v/>
      </c>
      <c r="D29" s="35">
        <f>D28</f>
        <v/>
      </c>
      <c r="E29" s="35">
        <f>E28</f>
        <v/>
      </c>
      <c r="F29" s="38">
        <f>J29*24</f>
        <v/>
      </c>
      <c r="G29" s="35" t="n"/>
      <c r="H29" s="35" t="n"/>
      <c r="I29" s="36" t="n"/>
      <c r="J29" s="17">
        <f>E29-D29</f>
        <v/>
      </c>
    </row>
    <row r="30" ht="20" customHeight="1" s="18">
      <c r="A30" s="35" t="inlineStr">
        <is>
          <t>14250</t>
        </is>
      </c>
      <c r="B30" s="36" t="inlineStr">
        <is>
          <t>MANTENIMIENTO</t>
        </is>
      </c>
      <c r="C30" s="35" t="inlineStr">
        <is>
          <t>2026-10-02</t>
        </is>
      </c>
      <c r="D30" s="35" t="inlineStr">
        <is>
          <t>11:09:37</t>
        </is>
      </c>
      <c r="E30" s="35" t="inlineStr"/>
      <c r="F30" s="35">
        <f>IF(AND(D30&lt;&gt;"",E30&lt;&gt;""),(E30-D30)*24,"")</f>
        <v/>
      </c>
      <c r="G30" s="35">
        <f>IF(AND(D30&lt;&gt;"",D30&gt;TIME(8,0,0)),(D30-TIME(8,0,0))*1440,0)</f>
        <v/>
      </c>
      <c r="H30" s="35">
        <f>IF(AND(F30&lt;&gt;"",F30&gt;8),F30-8,0)</f>
        <v/>
      </c>
      <c r="I30" s="36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C6" activeCellId="0" sqref="C6"/>
    </sheetView>
  </sheetViews>
  <sheetFormatPr baseColWidth="8" defaultColWidth="8.54296875" defaultRowHeight="15" customHeight="0" zeroHeight="0" outlineLevelRow="0"/>
  <cols>
    <col width="35.02" customWidth="1" style="17" min="1" max="1"/>
    <col width="25.73" customWidth="1" style="17" min="2" max="2"/>
    <col width="32" customWidth="1" style="17" min="3" max="3"/>
    <col width="28" customWidth="1" style="17" min="4" max="4"/>
    <col width="38" customWidth="1" style="17" min="5" max="5"/>
    <col width="28" customWidth="1" style="17" min="6" max="6"/>
    <col width="24" customWidth="1" style="17" min="7" max="7"/>
  </cols>
  <sheetData>
    <row r="1" ht="17.35" customHeight="1" s="18">
      <c r="A1" s="24" t="inlineStr">
        <is>
          <t>PANEL DE CONTROL DE NÓMINA</t>
        </is>
      </c>
    </row>
    <row r="2" ht="15" customHeight="1" s="18">
      <c r="A2" s="25" t="inlineStr">
        <is>
          <t>Quincena Actual (Horas Ordinarias):</t>
        </is>
      </c>
      <c r="B2" s="26" t="inlineStr">
        <is>
          <t>Desde:</t>
        </is>
      </c>
      <c r="C2" s="27" t="inlineStr">
        <is>
          <t>2026-09-16</t>
        </is>
      </c>
      <c r="D2" s="26" t="inlineStr">
        <is>
          <t>Hasta:</t>
        </is>
      </c>
      <c r="E2" s="27" t="inlineStr">
        <is>
          <t>2026-09-30</t>
        </is>
      </c>
    </row>
    <row r="3" ht="15" customHeight="1" s="18">
      <c r="A3" s="25" t="inlineStr">
        <is>
          <t>Quincena Anterior (Horas Extras):</t>
        </is>
      </c>
      <c r="B3" s="26" t="inlineStr">
        <is>
          <t>Desde:</t>
        </is>
      </c>
      <c r="C3" s="27" t="inlineStr">
        <is>
          <t>2026-09-01</t>
        </is>
      </c>
      <c r="D3" s="26" t="inlineStr">
        <is>
          <t>Hasta:</t>
        </is>
      </c>
      <c r="E3" s="27" t="inlineStr">
        <is>
          <t>2026-09-15</t>
        </is>
      </c>
    </row>
    <row r="5" ht="15" customHeight="1" s="18">
      <c r="A5" s="28" t="inlineStr">
        <is>
          <t>ID COLABORADOR</t>
        </is>
      </c>
      <c r="B5" s="28" t="inlineStr">
        <is>
          <t>ÁREA</t>
        </is>
      </c>
      <c r="C5" s="28" t="inlineStr">
        <is>
          <t>HORAS NORMALES (Q. Actual)</t>
        </is>
      </c>
      <c r="D5" s="28" t="inlineStr">
        <is>
          <t>MINUTOS TARDE (Q. Actual)</t>
        </is>
      </c>
      <c r="E5" s="28" t="inlineStr">
        <is>
          <t>AUSENCIAS / INCOMPLETAS (Q. Actual)</t>
        </is>
      </c>
      <c r="F5" s="28" t="inlineStr">
        <is>
          <t>HORAS EXTRA (Q. Anterior)</t>
        </is>
      </c>
      <c r="G5" s="28" t="inlineStr">
        <is>
          <t>TOTAL HORAS A PAGAR</t>
        </is>
      </c>
    </row>
    <row r="6" ht="15" customHeight="1" s="18">
      <c r="A6" s="20" t="n">
        <v>14244</v>
      </c>
      <c r="B6" s="21">
        <f>VLOOKUP(A6, Registro!$A$2:$A$1000, Registro!$B$2:$B$1000, "No encontrado")</f>
        <v/>
      </c>
      <c r="C6" s="23">
        <f>SUMIFS(Registro!$F$2:$F$1000, Registro!$A$2:$A$1000, A6, Registro!$C$2:$C$1000, "&gt;="&amp;$C$2, Registro!$C$2:$C$1000, "&lt;="&amp;$E$2) - SUMIFS(Registro!$H$2:$H$1000, Registro!$A$2:$A$1000, A6, Registro!$C$2:$C$1000, "&gt;="&amp;$C$2, Registro!$C$2:$C$1000, "&lt;="&amp;$E$2)</f>
        <v/>
      </c>
      <c r="D6" s="23">
        <f>SUMIFS(Registro!$G$2:$G$1000, Registro!$A$2:$A$1000, A6, Registro!$C$2:$C$1000, "&gt;="&amp;$C$2, Registro!$C$2:$C$1000, "&lt;="&amp;$E$2)</f>
        <v/>
      </c>
      <c r="E6" s="29">
        <f>COUNTIFS(Registro!$A$2:$A$1000, A6, Registro!$C$2:$C$1000, "&gt;="&amp;$C$2, Registro!$C$2:$C$1000, "&lt;="&amp;$E$2, Registro!$E$2:$E$1000, "")</f>
        <v/>
      </c>
      <c r="F6" s="23">
        <f>SUMIFS(Registro!$H$2:$H$1000, Registro!$A$2:$A$1000, A6, Registro!$C$2:$C$1000, "&gt;="&amp;$C$3, Registro!$C$2:$C$1000, "&lt;="&amp;$E$3)</f>
        <v/>
      </c>
      <c r="G6" s="30">
        <f>C6+F6</f>
        <v/>
      </c>
    </row>
    <row r="7" ht="15" customHeight="1" s="18">
      <c r="A7" s="20" t="n">
        <v>1240</v>
      </c>
      <c r="B7" s="21">
        <f>VLOOKUP(A7, Registro!$A$2:$A$1000, Registro!$B$2:$B$1000, "No encontrado")</f>
        <v/>
      </c>
      <c r="C7" s="23">
        <f>SUMIFS(Registro!$F$2:$F$1000, Registro!$A$2:$A$1000, A7, Registro!$C$2:$C$1000, "&gt;="&amp;$C$2, Registro!$C$2:$C$1000, "&lt;="&amp;$E$2) - SUMIFS(Registro!$H$2:$H$1000, Registro!$A$2:$A$1000, A7, Registro!$C$2:$C$1000, "&gt;="&amp;$C$2, Registro!$C$2:$C$1000, "&lt;="&amp;$E$2)</f>
        <v/>
      </c>
      <c r="D7" s="23">
        <f>SUMIFS(Registro!$G$2:$G$1000, Registro!$A$2:$A$1000, A7, Registro!$C$2:$C$1000, "&gt;="&amp;$C$2, Registro!$C$2:$C$1000, "&lt;="&amp;$E$2)</f>
        <v/>
      </c>
      <c r="E7" s="29">
        <f>COUNTIFS(Registro!$A$2:$A$1000, A7, Registro!$C$2:$C$1000, "&gt;="&amp;$C$2, Registro!$C$2:$C$1000, "&lt;="&amp;$E$2, Registro!$E$2:$E$1000, "")</f>
        <v/>
      </c>
      <c r="F7" s="23">
        <f>SUMIFS(Registro!$H$2:$H$1000, Registro!$A$2:$A$1000, A7, Registro!$C$2:$C$1000, "&gt;="&amp;$C$3, Registro!$C$2:$C$1000, "&lt;="&amp;$E$3)</f>
        <v/>
      </c>
      <c r="G7" s="30">
        <f>C7+F7</f>
        <v/>
      </c>
    </row>
    <row r="8" ht="15" customHeight="1" s="18">
      <c r="A8" s="20" t="n">
        <v>1213</v>
      </c>
      <c r="B8" s="21">
        <f>VLOOKUP(A8, Registro!$A$2:$A$1000, Registro!$B$2:$B$1000, "No encontrado")</f>
        <v/>
      </c>
      <c r="C8" s="23">
        <f>SUMIFS(Registro!$F$2:$F$1000, Registro!$A$2:$A$1000, A8, Registro!$C$2:$C$1000, "&gt;="&amp;$C$2, Registro!$C$2:$C$1000, "&lt;="&amp;$E$2) - SUMIFS(Registro!$H$2:$H$1000, Registro!$A$2:$A$1000, A8, Registro!$C$2:$C$1000, "&gt;="&amp;$C$2, Registro!$C$2:$C$1000, "&lt;="&amp;$E$2)</f>
        <v/>
      </c>
      <c r="D8" s="23">
        <f>SUMIFS(Registro!$G$2:$G$1000, Registro!$A$2:$A$1000, A8, Registro!$C$2:$C$1000, "&gt;="&amp;$C$2, Registro!$C$2:$C$1000, "&lt;="&amp;$E$2)</f>
        <v/>
      </c>
      <c r="E8" s="29">
        <f>COUNTIFS(Registro!$A$2:$A$1000, A8, Registro!$C$2:$C$1000, "&gt;="&amp;$C$2, Registro!$C$2:$C$1000, "&lt;="&amp;$E$2, Registro!$E$2:$E$1000, "")</f>
        <v/>
      </c>
      <c r="F8" s="23">
        <f>SUMIFS(Registro!$H$2:$H$1000, Registro!$A$2:$A$1000, A8, Registro!$C$2:$C$1000, "&gt;="&amp;$C$3, Registro!$C$2:$C$1000, "&lt;="&amp;$E$3)</f>
        <v/>
      </c>
      <c r="G8" s="30">
        <f>C8+F8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C5" activeCellId="0" sqref="C5"/>
    </sheetView>
  </sheetViews>
  <sheetFormatPr baseColWidth="8" defaultColWidth="11.53515625" defaultRowHeight="13.8" customHeight="0" zeroHeight="0" outlineLevelRow="0"/>
  <cols>
    <col width="16.19" customWidth="1" style="31" min="1" max="1"/>
    <col width="20.52" customWidth="1" style="31" min="2" max="2"/>
    <col width="27.32" customWidth="1" style="31" min="3" max="3"/>
    <col width="28.19" customWidth="1" style="31" min="4" max="4"/>
  </cols>
  <sheetData>
    <row r="1" ht="13.8" customHeight="1" s="18">
      <c r="A1" s="32" t="inlineStr">
        <is>
          <t>Concepto Laboral</t>
        </is>
      </c>
      <c r="B1" s="32" t="inlineStr">
        <is>
          <t>Artículo(s)</t>
        </is>
      </c>
      <c r="C1" s="32" t="inlineStr">
        <is>
          <t>Regla / Límite Legal</t>
        </is>
      </c>
      <c r="D1" s="32" t="inlineStr">
        <is>
          <t>Recargo / Multiplicador</t>
        </is>
      </c>
    </row>
    <row r="2" ht="37.75" customHeight="1" s="18">
      <c r="A2" s="32" t="inlineStr">
        <is>
          <t>Jornada Diurna</t>
        </is>
      </c>
      <c r="B2" s="33" t="inlineStr">
        <is>
          <t>Art. 30 y 31</t>
        </is>
      </c>
      <c r="C2" s="33" t="inlineStr">
        <is>
          <t>Comprendida entre 6:00 a.m. y 6:00 p.m. Máximo 8 horas/día (48 hrs/semana).</t>
        </is>
      </c>
      <c r="D2" s="33" t="inlineStr">
        <is>
          <t>Tarifa Ordinaria ($1.00$)</t>
        </is>
      </c>
    </row>
    <row r="3" ht="49.75" customHeight="1" s="18">
      <c r="A3" s="32" t="inlineStr">
        <is>
          <t>Jornada Nocturna</t>
        </is>
      </c>
      <c r="B3" s="33" t="inlineStr">
        <is>
          <t>Art. 30 y 31</t>
        </is>
      </c>
      <c r="C3" s="33" t="inlineStr">
        <is>
          <t>Comprendida entre 6:00 p.m. y 6:00 a.m. Máximo 7 horas/día (42 hrs/semana). (7h nocturnas equivalen a 8h de pago).</t>
        </is>
      </c>
      <c r="D3" s="33" t="inlineStr">
        <is>
          <t>Tarifa Ordinaria ($1.00$)</t>
        </is>
      </c>
    </row>
    <row r="4" ht="49.75" customHeight="1" s="18">
      <c r="A4" s="32" t="inlineStr">
        <is>
          <t>Jornada Mixta</t>
        </is>
      </c>
      <c r="B4" s="33" t="inlineStr">
        <is>
          <t>Art. 30 y 32</t>
        </is>
      </c>
      <c r="C4" s="33" t="inlineStr">
        <is>
          <t>Combina horas diurnas y nocturnas (máx. 3h nocturnas). Máximo 7.5 horas/día (45 hrs/semana).</t>
        </is>
      </c>
      <c r="D4" s="33" t="inlineStr">
        <is>
          <t>Tarifa Ordinaria ($1.00$)</t>
        </is>
      </c>
    </row>
    <row r="5" ht="49.75" customHeight="1" s="18">
      <c r="A5" s="32" t="inlineStr">
        <is>
          <t>Horas Extras Diurnas</t>
        </is>
      </c>
      <c r="B5" s="33" t="inlineStr">
        <is>
          <t>Art. 36, Ord. 1</t>
        </is>
      </c>
      <c r="C5" s="33" t="inlineStr">
        <is>
          <t>Exceso de jornada ordinaria trabajado en período diurno (máx. 3h/día, 9h/semana - Art. 33).</t>
        </is>
      </c>
      <c r="D5" s="32" t="inlineStr">
        <is>
          <t>25% de recargo (Factor $1.25$)</t>
        </is>
      </c>
    </row>
    <row r="6" ht="49.75" customHeight="1" s="18">
      <c r="A6" s="32" t="inlineStr">
        <is>
          <t>Horas Extras Nocturnas / Mixtas</t>
        </is>
      </c>
      <c r="B6" s="33" t="inlineStr">
        <is>
          <t>Art. 36, Ord. 2 y 3</t>
        </is>
      </c>
      <c r="C6" s="33" t="inlineStr">
        <is>
          <t>Exceso de jornada trabajado en período nocturno o en continuación de jornada mixta/nocturna.</t>
        </is>
      </c>
      <c r="D6" s="32" t="inlineStr">
        <is>
          <t>50% de recargo (Factor $1.50$)</t>
        </is>
      </c>
    </row>
    <row r="7" ht="49.75" customHeight="1" s="18">
      <c r="A7" s="32" t="inlineStr">
        <is>
          <t>Horas Extras Especiales / Excedentes</t>
        </is>
      </c>
      <c r="B7" s="33" t="inlineStr">
        <is>
          <t>Art. 36, Ord. 4 / Art. 39</t>
        </is>
      </c>
      <c r="C7" s="33" t="inlineStr">
        <is>
          <t>Exceso de horas extraordinarias que sobrepasen los límites o prolonguen jornadas nocturnas diurnas.</t>
        </is>
      </c>
      <c r="D7" s="32" t="inlineStr">
        <is>
          <t>75% de recargo (Factor $1.75$)</t>
        </is>
      </c>
    </row>
    <row r="8" ht="37.75" customHeight="1" s="18">
      <c r="A8" s="32" t="inlineStr">
        <is>
          <t>Trabajo en Domingo / Descanso</t>
        </is>
      </c>
      <c r="B8" s="33" t="inlineStr">
        <is>
          <t>Art. 41</t>
        </is>
      </c>
      <c r="C8" s="33" t="inlineStr">
        <is>
          <t>Horas ordinarias trabajadas en el día de descanso semanal obligatorio (Domingo).</t>
        </is>
      </c>
      <c r="D8" s="32" t="inlineStr">
        <is>
          <t>50% de recargo (Factor $1.50$)</t>
        </is>
      </c>
    </row>
    <row r="9" ht="37.75" customHeight="1" s="18">
      <c r="A9" s="32" t="inlineStr">
        <is>
          <t>Horas Extras en Domingo</t>
        </is>
      </c>
      <c r="B9" s="33" t="inlineStr">
        <is>
          <t>Art. 41</t>
        </is>
      </c>
      <c r="C9" s="33" t="inlineStr">
        <is>
          <t>Horas extraordinarias realizadas en día de descanso u horas dominicales excesivas.</t>
        </is>
      </c>
      <c r="D9" s="32" t="inlineStr">
        <is>
          <t>50% adicional sobre tarifa</t>
        </is>
      </c>
    </row>
    <row r="10" ht="25.7" customHeight="1" s="18">
      <c r="A10" s="32" t="inlineStr">
        <is>
          <t>Fiesta / Duelo Nacional</t>
        </is>
      </c>
      <c r="B10" s="33" t="inlineStr">
        <is>
          <t>Art. 46 y 48</t>
        </is>
      </c>
      <c r="C10" s="33" t="inlineStr">
        <is>
          <t>Horas trabajadas en días feriados oficiales decretados.</t>
        </is>
      </c>
      <c r="D10" s="32" t="inlineStr">
        <is>
          <t>150% de recargo (Factor $2.50$)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ID</t>
        </is>
      </c>
      <c r="B1" s="17" t="inlineStr">
        <is>
          <t>Departamento</t>
        </is>
      </c>
      <c r="C1" s="17" t="inlineStr">
        <is>
          <t>Fecha</t>
        </is>
      </c>
      <c r="D1" s="17" t="inlineStr">
        <is>
          <t>Hora Entrada</t>
        </is>
      </c>
      <c r="E1" s="17" t="inlineStr">
        <is>
          <t>Hora Salida</t>
        </is>
      </c>
      <c r="F1" s="17" t="inlineStr">
        <is>
          <t>Horas Trabajadas</t>
        </is>
      </c>
      <c r="G1" s="17" t="inlineStr">
        <is>
          <t>Minutos Tarde</t>
        </is>
      </c>
      <c r="H1" s="17" t="inlineStr">
        <is>
          <t>Tiempo Extra</t>
        </is>
      </c>
      <c r="I1" s="17" t="inlineStr">
        <is>
          <t>Notas</t>
        </is>
      </c>
    </row>
    <row r="2">
      <c r="A2" s="17" t="inlineStr">
        <is>
          <t>13204</t>
        </is>
      </c>
      <c r="B2" s="17" t="inlineStr">
        <is>
          <t>MANTENIMIENTO</t>
        </is>
      </c>
      <c r="C2" s="17" t="inlineStr">
        <is>
          <t>2026-10-01</t>
        </is>
      </c>
      <c r="D2" s="17" t="inlineStr">
        <is>
          <t>10:29:06</t>
        </is>
      </c>
      <c r="E2" s="17" t="inlineStr">
        <is>
          <t>10:49:34</t>
        </is>
      </c>
      <c r="F2" s="17">
        <f>IF(AND(D2&lt;&gt;"",E2&lt;&gt;""),(E2-D2)*24,"")</f>
        <v/>
      </c>
      <c r="G2" s="17">
        <f>IF(AND(D2&lt;&gt;"",D2&gt;TIME(8,0,0)),(D2-TIME(8,0,0))*1440,0)</f>
        <v/>
      </c>
      <c r="H2" s="17">
        <f>IF(AND(F2&lt;&gt;"",F2&gt;8),F2-8,0)</f>
        <v/>
      </c>
      <c r="I2" s="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ID</t>
        </is>
      </c>
      <c r="B1" s="17" t="inlineStr">
        <is>
          <t>Departamento</t>
        </is>
      </c>
      <c r="C1" s="17" t="inlineStr">
        <is>
          <t>Fecha</t>
        </is>
      </c>
      <c r="D1" s="17" t="inlineStr">
        <is>
          <t>Hora Entrada</t>
        </is>
      </c>
      <c r="E1" s="17" t="inlineStr">
        <is>
          <t>Hora Salida</t>
        </is>
      </c>
      <c r="F1" s="17" t="inlineStr">
        <is>
          <t>Horas Trabajadas</t>
        </is>
      </c>
      <c r="G1" s="17" t="inlineStr">
        <is>
          <t>Minutos Tarde</t>
        </is>
      </c>
      <c r="H1" s="17" t="inlineStr">
        <is>
          <t>Tiempo Extra</t>
        </is>
      </c>
      <c r="I1" s="17" t="inlineStr">
        <is>
          <t>Notas</t>
        </is>
      </c>
    </row>
    <row r="2">
      <c r="A2" t="inlineStr">
        <is>
          <t>14251</t>
        </is>
      </c>
      <c r="B2" t="inlineStr">
        <is>
          <t>MANTENIMIENTO</t>
        </is>
      </c>
      <c r="C2" t="inlineStr">
        <is>
          <t>2026-10-02</t>
        </is>
      </c>
      <c r="D2" t="inlineStr">
        <is>
          <t>11:10:27</t>
        </is>
      </c>
      <c r="E2" t="inlineStr"/>
      <c r="F2">
        <f>IF(AND(D2&lt;&gt;"",E2&lt;&gt;""),(E2-D2)*24,"")</f>
        <v/>
      </c>
      <c r="G2">
        <f>IF(AND(D2&lt;&gt;"",D2&gt;TIME(8,0,0)),(D2-TIME(8,0,0))*1440,0)</f>
        <v/>
      </c>
      <c r="H2">
        <f>IF(AND(F2&lt;&gt;"",F2&gt;8),F2-8,0)</f>
        <v/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2026-09-29T18:45:52Z</dcterms:created>
  <dcterms:modified xsi:type="dcterms:W3CDTF">2026-10-02T16:10:27Z</dcterms:modified>
  <cp:revision>2</cp:revision>
</cp:coreProperties>
</file>